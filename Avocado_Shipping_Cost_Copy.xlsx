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ok\Desktop\"/>
    </mc:Choice>
  </mc:AlternateContent>
  <xr:revisionPtr revIDLastSave="0" documentId="8_{E5264AE2-B56B-4D5F-A8DA-583A3E8AD944}" xr6:coauthVersionLast="47" xr6:coauthVersionMax="47" xr10:uidLastSave="{00000000-0000-0000-0000-000000000000}"/>
  <bookViews>
    <workbookView xWindow="-108" yWindow="-108" windowWidth="23256" windowHeight="12456" xr2:uid="{DAC29CED-BDA5-461F-BC98-78BF175AA11B}"/>
  </bookViews>
  <sheets>
    <sheet name="Sheet1" sheetId="1" r:id="rId1"/>
    <sheet name="Constraints" sheetId="2" r:id="rId2"/>
  </sheets>
  <definedNames>
    <definedName name="solver_adj" localSheetId="0" hidden="1">Sheet1!$R$4:$T$6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Sheet1!$AA$19</definedName>
    <definedName name="solver_lhs10" localSheetId="0" hidden="1">Sheet1!$T$6</definedName>
    <definedName name="solver_lhs11" localSheetId="0" hidden="1">Sheet1!$T$4</definedName>
    <definedName name="solver_lhs12" localSheetId="0" hidden="1">Sheet1!$T$5</definedName>
    <definedName name="solver_lhs13" localSheetId="0" hidden="1">Sheet1!$U$17:$Z$17</definedName>
    <definedName name="solver_lhs14" localSheetId="0" hidden="1">Sheet1!$U$17:$Z$17</definedName>
    <definedName name="solver_lhs15" localSheetId="0" hidden="1">Sheet1!$U$17:$Z$17</definedName>
    <definedName name="solver_lhs2" localSheetId="0" hidden="1">Sheet1!$R$4:$T$6</definedName>
    <definedName name="solver_lhs3" localSheetId="0" hidden="1">Sheet1!$R$5</definedName>
    <definedName name="solver_lhs4" localSheetId="0" hidden="1">Sheet1!$R$6</definedName>
    <definedName name="solver_lhs5" localSheetId="0" hidden="1">Sheet1!$R$8:$T$8</definedName>
    <definedName name="solver_lhs6" localSheetId="0" hidden="1">Sheet1!$R$8:$T$8</definedName>
    <definedName name="solver_lhs7" localSheetId="0" hidden="1">Sheet1!$S$5</definedName>
    <definedName name="solver_lhs8" localSheetId="0" hidden="1">Sheet1!$S$6</definedName>
    <definedName name="solver_lhs9" localSheetId="0" hidden="1">Sheet1!$T$5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Sheet1!$T$30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3</definedName>
    <definedName name="solver_rel11" localSheetId="0" hidden="1">3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400000</definedName>
    <definedName name="solver_rhs10" localSheetId="0" hidden="1">0.005</definedName>
    <definedName name="solver_rhs11" localSheetId="0" hidden="1">0.05</definedName>
    <definedName name="solver_rhs12" localSheetId="0" hidden="1">0.55</definedName>
    <definedName name="solver_rhs13" localSheetId="0" hidden="1">1</definedName>
    <definedName name="solver_rhs14" localSheetId="0" hidden="1">0.3</definedName>
    <definedName name="solver_rhs15" localSheetId="0" hidden="1">0.3</definedName>
    <definedName name="solver_rhs2" localSheetId="0" hidden="1">0.01</definedName>
    <definedName name="solver_rhs3" localSheetId="0" hidden="1">0.1</definedName>
    <definedName name="solver_rhs4" localSheetId="0" hidden="1">0.05</definedName>
    <definedName name="solver_rhs5" localSheetId="0" hidden="1">1</definedName>
    <definedName name="solver_rhs6" localSheetId="0" hidden="1">0.4</definedName>
    <definedName name="solver_rhs7" localSheetId="0" hidden="1">0.15</definedName>
    <definedName name="solver_rhs8" localSheetId="0" hidden="1">0.01</definedName>
    <definedName name="solver_rhs9" localSheetId="0" hidden="1">0.6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V14" i="1" s="1"/>
  <c r="P24" i="1" s="1"/>
  <c r="R15" i="1"/>
  <c r="Z15" i="1" s="1"/>
  <c r="T25" i="1" s="1"/>
  <c r="R16" i="1"/>
  <c r="Z16" i="1" s="1"/>
  <c r="T26" i="1" s="1"/>
  <c r="Q15" i="1"/>
  <c r="X15" i="1" s="1"/>
  <c r="R25" i="1" s="1"/>
  <c r="Q16" i="1"/>
  <c r="W16" i="1" s="1"/>
  <c r="Q26" i="1" s="1"/>
  <c r="Q14" i="1"/>
  <c r="X14" i="1" s="1"/>
  <c r="R24" i="1" s="1"/>
  <c r="R14" i="1"/>
  <c r="Z14" i="1" s="1"/>
  <c r="T24" i="1" s="1"/>
  <c r="P16" i="1"/>
  <c r="U16" i="1" s="1"/>
  <c r="O26" i="1" s="1"/>
  <c r="P15" i="1"/>
  <c r="V15" i="1" s="1"/>
  <c r="P25" i="1" s="1"/>
  <c r="S8" i="1"/>
  <c r="T8" i="1"/>
  <c r="R8" i="1"/>
  <c r="K14" i="1"/>
  <c r="M14" i="1" s="1"/>
  <c r="K12" i="1"/>
  <c r="M12" i="1" s="1"/>
  <c r="K11" i="1"/>
  <c r="M11" i="1" s="1"/>
  <c r="H12" i="1"/>
  <c r="L12" i="1" s="1"/>
  <c r="H14" i="1"/>
  <c r="L14" i="1" s="1"/>
  <c r="H11" i="1"/>
  <c r="L11" i="1" s="1"/>
  <c r="F6" i="1"/>
  <c r="F5" i="1"/>
  <c r="F4" i="1"/>
  <c r="E5" i="1"/>
  <c r="E6" i="1"/>
  <c r="E4" i="1"/>
  <c r="U14" i="1" l="1"/>
  <c r="O24" i="1" s="1"/>
  <c r="U15" i="1"/>
  <c r="O25" i="1" s="1"/>
  <c r="X16" i="1"/>
  <c r="R26" i="1" s="1"/>
  <c r="W15" i="1"/>
  <c r="Q25" i="1" s="1"/>
  <c r="W14" i="1"/>
  <c r="Q24" i="1" s="1"/>
  <c r="Y14" i="1"/>
  <c r="S24" i="1" s="1"/>
  <c r="P18" i="1"/>
  <c r="Y16" i="1"/>
  <c r="S26" i="1" s="1"/>
  <c r="Y15" i="1"/>
  <c r="S25" i="1" s="1"/>
  <c r="V16" i="1"/>
  <c r="P26" i="1" s="1"/>
  <c r="Q18" i="1"/>
  <c r="R18" i="1"/>
  <c r="O4" i="1"/>
  <c r="M5" i="1"/>
  <c r="N4" i="1"/>
  <c r="K5" i="1"/>
  <c r="L5" i="1"/>
  <c r="P6" i="1"/>
  <c r="N6" i="1"/>
  <c r="N5" i="1"/>
  <c r="M4" i="1"/>
  <c r="M6" i="1"/>
  <c r="K6" i="1"/>
  <c r="O6" i="1"/>
  <c r="L4" i="1"/>
  <c r="O5" i="1"/>
  <c r="L6" i="1"/>
  <c r="P4" i="1"/>
  <c r="P5" i="1"/>
  <c r="K4" i="1"/>
  <c r="Q28" i="1" l="1"/>
  <c r="S28" i="1"/>
  <c r="W19" i="1"/>
  <c r="U19" i="1"/>
  <c r="O28" i="1"/>
  <c r="Y19" i="1"/>
  <c r="T30" i="1"/>
  <c r="AA19" i="1" l="1"/>
</calcChain>
</file>

<file path=xl/sharedStrings.xml><?xml version="1.0" encoding="utf-8"?>
<sst xmlns="http://schemas.openxmlformats.org/spreadsheetml/2006/main" count="115" uniqueCount="51">
  <si>
    <t>Dallas</t>
  </si>
  <si>
    <t>NYC</t>
  </si>
  <si>
    <t xml:space="preserve">plu4046 </t>
  </si>
  <si>
    <t>plu4225</t>
  </si>
  <si>
    <t>plu4770</t>
  </si>
  <si>
    <t>Size per (oz)</t>
  </si>
  <si>
    <t>Size (lbs)</t>
  </si>
  <si>
    <t>California</t>
  </si>
  <si>
    <t xml:space="preserve">Dallas </t>
  </si>
  <si>
    <t>Truck Rates (Domestic)</t>
  </si>
  <si>
    <t>Truck Rates (Int)</t>
  </si>
  <si>
    <t>Domestic Miles</t>
  </si>
  <si>
    <t>International Miles</t>
  </si>
  <si>
    <t>Truck Units</t>
  </si>
  <si>
    <t>Domestic</t>
  </si>
  <si>
    <t>Origin</t>
  </si>
  <si>
    <t>Destination</t>
  </si>
  <si>
    <t>Califronia</t>
  </si>
  <si>
    <t>New York</t>
  </si>
  <si>
    <t>International</t>
  </si>
  <si>
    <t>Mexico-AZ</t>
  </si>
  <si>
    <t>Mexico-TX</t>
  </si>
  <si>
    <t>International Gas</t>
  </si>
  <si>
    <t>Domestic Gas</t>
  </si>
  <si>
    <t>D. Price per mile</t>
  </si>
  <si>
    <t>I. Price Per Mile</t>
  </si>
  <si>
    <t>Domestic Total Cost</t>
  </si>
  <si>
    <t>International Total Cost</t>
  </si>
  <si>
    <t>D Shipping Cost /U</t>
  </si>
  <si>
    <t>I Shipping Cost /U</t>
  </si>
  <si>
    <t>Type</t>
  </si>
  <si>
    <t>max out at forcasted volume</t>
  </si>
  <si>
    <t>Volume %</t>
  </si>
  <si>
    <t>Total</t>
  </si>
  <si>
    <t>Average Volume Past Data</t>
  </si>
  <si>
    <t>Shipping Costs</t>
  </si>
  <si>
    <t>Constraints:</t>
  </si>
  <si>
    <t>At least 25% of volume to each market</t>
  </si>
  <si>
    <t>At least 30% from international market</t>
  </si>
  <si>
    <t>Decision Variable Volume</t>
  </si>
  <si>
    <t>Truck Cargo lbs ==</t>
  </si>
  <si>
    <t>Percentage International</t>
  </si>
  <si>
    <t>Minimize</t>
  </si>
  <si>
    <t>Truck Avocado Units Given Volume</t>
  </si>
  <si>
    <t>Decision Variable Volume in Pounds</t>
  </si>
  <si>
    <t>Minimize Shipping Cost</t>
  </si>
  <si>
    <t>Grand Total</t>
  </si>
  <si>
    <t>Per Truck</t>
  </si>
  <si>
    <t xml:space="preserve">Volume a day ~ </t>
  </si>
  <si>
    <t>From Forecast Data</t>
  </si>
  <si>
    <t>Avocados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</si>
</sst>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3" fontId="0" fillId="0" borderId="0" xfId="0" applyNumberFormat="1"/>
    <xf numFmtId="41" fontId="0" fillId="0" borderId="0" xfId="0" applyNumberFormat="1"/>
    <xf numFmtId="0" fontId="2" fillId="3" borderId="0" xfId="0" applyFont="1" applyFill="1"/>
    <xf numFmtId="0" fontId="2" fillId="0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3" fontId="0" fillId="4" borderId="1" xfId="0" applyNumberFormat="1" applyFill="1" applyBorder="1"/>
    <xf numFmtId="3" fontId="0" fillId="5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44" fontId="0" fillId="4" borderId="1" xfId="1" applyFont="1" applyFill="1" applyBorder="1"/>
    <xf numFmtId="44" fontId="0" fillId="5" borderId="1" xfId="1" applyFont="1" applyFill="1" applyBorder="1"/>
    <xf numFmtId="44" fontId="0" fillId="4" borderId="2" xfId="1" applyFont="1" applyFill="1" applyBorder="1"/>
    <xf numFmtId="0" fontId="0" fillId="5" borderId="3" xfId="0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2" fillId="4" borderId="1" xfId="0" applyFont="1" applyFill="1" applyBorder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/>
    <xf numFmtId="0" fontId="2" fillId="8" borderId="0" xfId="0" applyFont="1" applyFill="1" applyAlignment="1"/>
    <xf numFmtId="0" fontId="2" fillId="9" borderId="1" xfId="0" applyFont="1" applyFill="1" applyBorder="1"/>
    <xf numFmtId="44" fontId="0" fillId="9" borderId="1" xfId="1" applyFont="1" applyFill="1" applyBorder="1"/>
    <xf numFmtId="2" fontId="0" fillId="9" borderId="1" xfId="2" applyNumberFormat="1" applyFont="1" applyFill="1" applyBorder="1"/>
    <xf numFmtId="0" fontId="2" fillId="0" borderId="0" xfId="0" applyFont="1" applyFill="1" applyBorder="1"/>
    <xf numFmtId="2" fontId="0" fillId="0" borderId="0" xfId="0" applyNumberFormat="1"/>
    <xf numFmtId="3" fontId="0" fillId="2" borderId="0" xfId="0" applyNumberFormat="1" applyFill="1"/>
    <xf numFmtId="166" fontId="0" fillId="9" borderId="1" xfId="2" applyNumberFormat="1" applyFont="1" applyFill="1" applyBorder="1"/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9" borderId="1" xfId="0" applyFill="1" applyBorder="1"/>
    <xf numFmtId="44" fontId="0" fillId="11" borderId="1" xfId="0" applyNumberFormat="1" applyFill="1" applyBorder="1" applyAlignment="1">
      <alignment horizontal="center"/>
    </xf>
    <xf numFmtId="44" fontId="0" fillId="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10-A9BF-4D66-ACB0-478E9DFE929B}">
  <dimension ref="C1:AA30"/>
  <sheetViews>
    <sheetView tabSelected="1" topLeftCell="S6" workbookViewId="0">
      <selection activeCell="V23" sqref="V23"/>
    </sheetView>
  </sheetViews>
  <sheetFormatPr defaultRowHeight="14.4" x14ac:dyDescent="0.3"/>
  <cols>
    <col min="3" max="3" width="12.6640625" customWidth="1"/>
    <col min="4" max="4" width="19.88671875" customWidth="1"/>
    <col min="5" max="5" width="18.88671875" customWidth="1"/>
    <col min="6" max="6" width="16.44140625" customWidth="1"/>
    <col min="7" max="7" width="18" customWidth="1"/>
    <col min="8" max="8" width="18.21875" customWidth="1"/>
    <col min="9" max="9" width="18.44140625" customWidth="1"/>
    <col min="10" max="10" width="19.5546875" customWidth="1"/>
    <col min="11" max="11" width="18.109375" customWidth="1"/>
    <col min="12" max="12" width="18.77734375" customWidth="1"/>
    <col min="13" max="13" width="20.5546875" customWidth="1"/>
    <col min="14" max="14" width="19.21875" customWidth="1"/>
    <col min="15" max="15" width="18.5546875" customWidth="1"/>
    <col min="16" max="16" width="18.77734375" customWidth="1"/>
    <col min="17" max="17" width="12.6640625" customWidth="1"/>
    <col min="18" max="18" width="22" customWidth="1"/>
    <col min="19" max="19" width="18.5546875" customWidth="1"/>
    <col min="20" max="20" width="22.88671875" customWidth="1"/>
    <col min="21" max="22" width="23.21875" customWidth="1"/>
    <col min="23" max="24" width="15.33203125" customWidth="1"/>
    <col min="25" max="25" width="18.6640625" customWidth="1"/>
    <col min="26" max="26" width="17.33203125" customWidth="1"/>
    <col min="27" max="27" width="16.44140625" customWidth="1"/>
  </cols>
  <sheetData>
    <row r="1" spans="3:26" x14ac:dyDescent="0.3">
      <c r="E1" t="s">
        <v>40</v>
      </c>
      <c r="F1" s="30">
        <v>42500</v>
      </c>
      <c r="G1" t="s">
        <v>34</v>
      </c>
      <c r="K1" t="s">
        <v>35</v>
      </c>
      <c r="R1" t="s">
        <v>39</v>
      </c>
    </row>
    <row r="2" spans="3:26" x14ac:dyDescent="0.3">
      <c r="G2" s="22" t="s">
        <v>7</v>
      </c>
      <c r="H2" s="23" t="s">
        <v>0</v>
      </c>
      <c r="I2" s="24" t="s">
        <v>18</v>
      </c>
      <c r="K2" s="19" t="s">
        <v>7</v>
      </c>
      <c r="L2" s="19"/>
      <c r="M2" s="20" t="s">
        <v>0</v>
      </c>
      <c r="N2" s="20"/>
      <c r="O2" s="21" t="s">
        <v>18</v>
      </c>
      <c r="P2" s="21"/>
      <c r="R2" s="22" t="s">
        <v>7</v>
      </c>
      <c r="S2" s="23" t="s">
        <v>0</v>
      </c>
      <c r="T2" s="24" t="s">
        <v>18</v>
      </c>
    </row>
    <row r="3" spans="3:26" x14ac:dyDescent="0.3">
      <c r="C3" s="5" t="s">
        <v>30</v>
      </c>
      <c r="D3" s="5" t="s">
        <v>5</v>
      </c>
      <c r="E3" s="5" t="s">
        <v>6</v>
      </c>
      <c r="F3" s="5" t="s">
        <v>13</v>
      </c>
      <c r="G3" s="25" t="s">
        <v>32</v>
      </c>
      <c r="H3" s="25" t="s">
        <v>32</v>
      </c>
      <c r="I3" s="25" t="s">
        <v>32</v>
      </c>
      <c r="J3" s="5"/>
      <c r="K3" s="18" t="s">
        <v>28</v>
      </c>
      <c r="L3" s="16" t="s">
        <v>29</v>
      </c>
      <c r="M3" s="18" t="s">
        <v>28</v>
      </c>
      <c r="N3" s="16" t="s">
        <v>29</v>
      </c>
      <c r="O3" s="18" t="s">
        <v>28</v>
      </c>
      <c r="P3" s="16" t="s">
        <v>29</v>
      </c>
      <c r="R3" s="25" t="s">
        <v>32</v>
      </c>
      <c r="S3" s="25" t="s">
        <v>32</v>
      </c>
      <c r="T3" s="25" t="s">
        <v>32</v>
      </c>
    </row>
    <row r="4" spans="3:26" ht="30" customHeight="1" x14ac:dyDescent="0.3">
      <c r="C4" s="5" t="s">
        <v>2</v>
      </c>
      <c r="D4">
        <v>4</v>
      </c>
      <c r="E4">
        <f>D4*0.0625</f>
        <v>0.25</v>
      </c>
      <c r="F4" s="2">
        <f>42500/(0.25)</f>
        <v>170000</v>
      </c>
      <c r="G4" s="27">
        <v>39.42</v>
      </c>
      <c r="H4" s="27">
        <v>45</v>
      </c>
      <c r="I4" s="27">
        <v>5.92</v>
      </c>
      <c r="J4" s="5" t="s">
        <v>2</v>
      </c>
      <c r="K4" s="12">
        <f>L11/F4</f>
        <v>1.0459411764705882E-2</v>
      </c>
      <c r="L4" s="13">
        <f>M11/F4</f>
        <v>3.6683823529411762E-2</v>
      </c>
      <c r="M4" s="12">
        <f>L12/F4</f>
        <v>4.8175117647058827E-2</v>
      </c>
      <c r="N4" s="13">
        <f>M12/F4</f>
        <v>3.3576529411764706E-2</v>
      </c>
      <c r="O4" s="12">
        <f>L14/F4</f>
        <v>1.5855882352941178E-2</v>
      </c>
      <c r="P4" s="13">
        <f>M14/F4</f>
        <v>7.5152999999999998E-2</v>
      </c>
      <c r="Q4" s="5" t="s">
        <v>2</v>
      </c>
      <c r="R4" s="31">
        <v>0.84999999999999987</v>
      </c>
      <c r="S4" s="31">
        <v>0.71362493715434872</v>
      </c>
      <c r="T4" s="31">
        <v>0.39</v>
      </c>
    </row>
    <row r="5" spans="3:26" ht="27" customHeight="1" x14ac:dyDescent="0.3">
      <c r="C5" s="5" t="s">
        <v>3</v>
      </c>
      <c r="D5">
        <v>9</v>
      </c>
      <c r="E5">
        <f t="shared" ref="E5:E6" si="0">D5*0.0625</f>
        <v>0.5625</v>
      </c>
      <c r="F5" s="2">
        <f>42500/0.5625</f>
        <v>75555.555555555562</v>
      </c>
      <c r="G5" s="27">
        <v>10.85</v>
      </c>
      <c r="H5" s="27">
        <v>17.05</v>
      </c>
      <c r="I5" s="27">
        <v>61.5</v>
      </c>
      <c r="J5" s="5" t="s">
        <v>3</v>
      </c>
      <c r="K5" s="12">
        <f>L11/F5</f>
        <v>2.3533676470588231E-2</v>
      </c>
      <c r="L5" s="13">
        <f>M11/F5</f>
        <v>8.2538602941176459E-2</v>
      </c>
      <c r="M5" s="12">
        <f>L12/F5</f>
        <v>0.10839401470588235</v>
      </c>
      <c r="N5" s="13">
        <f>M12/F5</f>
        <v>7.5547191176470588E-2</v>
      </c>
      <c r="O5" s="12">
        <f>L14/F5</f>
        <v>3.5675735294117647E-2</v>
      </c>
      <c r="P5" s="13">
        <f>M14/F5</f>
        <v>0.16909425</v>
      </c>
      <c r="Q5" s="5" t="s">
        <v>3</v>
      </c>
      <c r="R5" s="31">
        <v>0.1</v>
      </c>
      <c r="S5" s="31">
        <v>0.15</v>
      </c>
      <c r="T5" s="31">
        <v>0.6</v>
      </c>
    </row>
    <row r="6" spans="3:26" ht="28.8" customHeight="1" x14ac:dyDescent="0.3">
      <c r="C6" s="5" t="s">
        <v>4</v>
      </c>
      <c r="D6">
        <v>13</v>
      </c>
      <c r="E6">
        <f t="shared" si="0"/>
        <v>0.8125</v>
      </c>
      <c r="F6" s="2">
        <f>42500/0.8125</f>
        <v>52307.692307692305</v>
      </c>
      <c r="G6" s="27">
        <v>5.98</v>
      </c>
      <c r="H6" s="27">
        <v>1.42</v>
      </c>
      <c r="I6" s="27">
        <v>0.51</v>
      </c>
      <c r="J6" s="5" t="s">
        <v>4</v>
      </c>
      <c r="K6" s="12">
        <f>L11/F6</f>
        <v>3.3993088235294115E-2</v>
      </c>
      <c r="L6" s="13">
        <f>M11/F6</f>
        <v>0.11922242647058824</v>
      </c>
      <c r="M6" s="12">
        <f>L12/F6</f>
        <v>0.1565691323529412</v>
      </c>
      <c r="N6" s="13">
        <f>M12/F6</f>
        <v>0.1091237205882353</v>
      </c>
      <c r="O6" s="12">
        <f>L14/F6</f>
        <v>5.1531617647058825E-2</v>
      </c>
      <c r="P6" s="13">
        <f>M14/F6</f>
        <v>0.24424725000000003</v>
      </c>
      <c r="Q6" s="5" t="s">
        <v>4</v>
      </c>
      <c r="R6" s="31">
        <v>0.05</v>
      </c>
      <c r="S6" s="31">
        <v>0.01</v>
      </c>
      <c r="T6" s="31">
        <v>0.01</v>
      </c>
    </row>
    <row r="8" spans="3:26" x14ac:dyDescent="0.3">
      <c r="Q8" s="28" t="s">
        <v>33</v>
      </c>
      <c r="R8" s="29">
        <f>SUM(R4:R6)</f>
        <v>0.99999999999999989</v>
      </c>
      <c r="S8" s="29">
        <f t="shared" ref="S8:T8" si="1">SUM(S4:S6)</f>
        <v>0.87362493715434875</v>
      </c>
      <c r="T8" s="29">
        <f t="shared" si="1"/>
        <v>1</v>
      </c>
    </row>
    <row r="10" spans="3:26" x14ac:dyDescent="0.3">
      <c r="D10" s="6" t="s">
        <v>9</v>
      </c>
      <c r="E10" s="7" t="s">
        <v>10</v>
      </c>
      <c r="F10" s="6" t="s">
        <v>24</v>
      </c>
      <c r="G10" s="6" t="s">
        <v>11</v>
      </c>
      <c r="H10" s="6" t="s">
        <v>23</v>
      </c>
      <c r="I10" s="17" t="s">
        <v>25</v>
      </c>
      <c r="J10" s="7" t="s">
        <v>12</v>
      </c>
      <c r="K10" s="7" t="s">
        <v>22</v>
      </c>
      <c r="L10" s="6" t="s">
        <v>26</v>
      </c>
      <c r="M10" s="7" t="s">
        <v>27</v>
      </c>
    </row>
    <row r="11" spans="3:26" x14ac:dyDescent="0.3">
      <c r="C11" s="5" t="s">
        <v>7</v>
      </c>
      <c r="D11" s="8">
        <v>1419</v>
      </c>
      <c r="E11" s="9">
        <v>1527</v>
      </c>
      <c r="F11" s="12">
        <v>13.5</v>
      </c>
      <c r="G11" s="10">
        <v>26.6</v>
      </c>
      <c r="H11" s="14">
        <f>F11*G11</f>
        <v>359.1</v>
      </c>
      <c r="I11" s="13">
        <v>2.73</v>
      </c>
      <c r="J11" s="15">
        <v>1725</v>
      </c>
      <c r="K11" s="13">
        <f>I11*J11</f>
        <v>4709.25</v>
      </c>
      <c r="L11" s="12">
        <f>D11+H11</f>
        <v>1778.1</v>
      </c>
      <c r="M11" s="13">
        <f>E11+K11</f>
        <v>6236.25</v>
      </c>
      <c r="P11" t="s">
        <v>44</v>
      </c>
      <c r="U11" t="s">
        <v>43</v>
      </c>
    </row>
    <row r="12" spans="3:26" x14ac:dyDescent="0.3">
      <c r="C12" s="5" t="s">
        <v>8</v>
      </c>
      <c r="D12" s="8">
        <v>4174</v>
      </c>
      <c r="E12" s="9">
        <v>1765</v>
      </c>
      <c r="F12" s="12">
        <v>2.83</v>
      </c>
      <c r="G12" s="10">
        <v>1419</v>
      </c>
      <c r="H12" s="12">
        <f>F12*G12</f>
        <v>4015.77</v>
      </c>
      <c r="I12" s="13">
        <v>3.53</v>
      </c>
      <c r="J12" s="11">
        <v>1117</v>
      </c>
      <c r="K12" s="13">
        <f>I12*J12</f>
        <v>3943.0099999999998</v>
      </c>
      <c r="L12" s="12">
        <f>D12+H12</f>
        <v>8189.77</v>
      </c>
      <c r="M12" s="13">
        <f>E12+K12</f>
        <v>5708.01</v>
      </c>
      <c r="P12" s="22" t="s">
        <v>7</v>
      </c>
      <c r="Q12" s="23" t="s">
        <v>0</v>
      </c>
      <c r="R12" s="24" t="s">
        <v>18</v>
      </c>
      <c r="U12" s="32" t="s">
        <v>7</v>
      </c>
      <c r="V12" s="32"/>
      <c r="W12" s="33" t="s">
        <v>0</v>
      </c>
      <c r="X12" s="33"/>
      <c r="Y12" s="35" t="s">
        <v>18</v>
      </c>
      <c r="Z12" s="35"/>
    </row>
    <row r="13" spans="3:26" x14ac:dyDescent="0.3">
      <c r="C13" s="5"/>
      <c r="D13" s="8"/>
      <c r="E13" s="9"/>
      <c r="F13" s="12"/>
      <c r="G13" s="10"/>
      <c r="H13" s="12"/>
      <c r="I13" s="13"/>
      <c r="J13" s="11"/>
      <c r="K13" s="13"/>
      <c r="L13" s="12"/>
      <c r="M13" s="13"/>
      <c r="P13" s="22"/>
      <c r="Q13" s="23"/>
      <c r="R13" s="24"/>
      <c r="U13" s="34" t="s">
        <v>14</v>
      </c>
      <c r="V13" s="34" t="s">
        <v>19</v>
      </c>
      <c r="W13" s="34" t="s">
        <v>14</v>
      </c>
      <c r="X13" s="34" t="s">
        <v>19</v>
      </c>
      <c r="Y13" s="34" t="s">
        <v>14</v>
      </c>
      <c r="Z13" s="34" t="s">
        <v>19</v>
      </c>
    </row>
    <row r="14" spans="3:26" x14ac:dyDescent="0.3">
      <c r="C14" s="5" t="s">
        <v>1</v>
      </c>
      <c r="D14" s="8">
        <v>2250</v>
      </c>
      <c r="E14" s="9">
        <v>5538</v>
      </c>
      <c r="F14" s="12">
        <v>15</v>
      </c>
      <c r="G14" s="10">
        <v>29.7</v>
      </c>
      <c r="H14" s="12">
        <f>F14*G14</f>
        <v>445.5</v>
      </c>
      <c r="I14" s="13">
        <v>2.77</v>
      </c>
      <c r="J14" s="11">
        <v>2613</v>
      </c>
      <c r="K14" s="13">
        <f>I14*J14</f>
        <v>7238.01</v>
      </c>
      <c r="L14" s="12">
        <f>D14+H14</f>
        <v>2695.5</v>
      </c>
      <c r="M14" s="13">
        <f>E14+K14</f>
        <v>12776.01</v>
      </c>
      <c r="O14" s="5" t="s">
        <v>2</v>
      </c>
      <c r="P14" s="27">
        <f>R4*$F$1</f>
        <v>36124.999999999993</v>
      </c>
      <c r="Q14" s="27">
        <f>S4*$F$1</f>
        <v>30329.059829059821</v>
      </c>
      <c r="R14" s="27">
        <f>T4*$F$1</f>
        <v>16575</v>
      </c>
      <c r="T14" s="5" t="s">
        <v>2</v>
      </c>
      <c r="U14" s="27">
        <f>(P14/$E$4)*(1-U17)</f>
        <v>101149.99999999997</v>
      </c>
      <c r="V14" s="27">
        <f>(P14/$E$4)*(U17)</f>
        <v>43349.999999999993</v>
      </c>
      <c r="W14" s="27">
        <f>(Q14/$E$4)*(1-W17)</f>
        <v>84921.367521367487</v>
      </c>
      <c r="X14" s="27">
        <f>(Q14/$E$4)*(W17)</f>
        <v>36394.871794871782</v>
      </c>
      <c r="Y14" s="27">
        <f>(R14/$E$4)*(1-Y17)</f>
        <v>46410</v>
      </c>
      <c r="Z14" s="39">
        <f>(R14/$E$4)*(Y17)</f>
        <v>19890</v>
      </c>
    </row>
    <row r="15" spans="3:26" x14ac:dyDescent="0.3">
      <c r="O15" s="5" t="s">
        <v>3</v>
      </c>
      <c r="P15" s="27">
        <f>R5*$F$1</f>
        <v>4250</v>
      </c>
      <c r="Q15" s="27">
        <f>S5*$F$1</f>
        <v>6375</v>
      </c>
      <c r="R15" s="27">
        <f>T5*$F$1</f>
        <v>25500</v>
      </c>
      <c r="T15" s="5" t="s">
        <v>3</v>
      </c>
      <c r="U15" s="27">
        <f>(P15/$E$5)*(1-U17)</f>
        <v>5288.8888888888887</v>
      </c>
      <c r="V15" s="27">
        <f>(P15/$E$5)*(U17)</f>
        <v>2266.6666666666665</v>
      </c>
      <c r="W15" s="27">
        <f>(Q15/$E$5)*(1-W17)</f>
        <v>7933.333333333333</v>
      </c>
      <c r="X15" s="27">
        <f>(Q15/$E$5)*(W17)</f>
        <v>3400</v>
      </c>
      <c r="Y15" s="27">
        <f>(R15/$E$5)*(1-Y17)</f>
        <v>31733.333333333332</v>
      </c>
      <c r="Z15" s="39">
        <f>(R15/$E$5)*(Y17)</f>
        <v>13600</v>
      </c>
    </row>
    <row r="16" spans="3:26" x14ac:dyDescent="0.3">
      <c r="O16" s="5" t="s">
        <v>4</v>
      </c>
      <c r="P16" s="27">
        <f>R6*$F$1</f>
        <v>2125</v>
      </c>
      <c r="Q16" s="27">
        <f>S6*$F$1</f>
        <v>425</v>
      </c>
      <c r="R16" s="27">
        <f>T6*$F$1</f>
        <v>425</v>
      </c>
      <c r="T16" s="5" t="s">
        <v>4</v>
      </c>
      <c r="U16" s="27">
        <f>(P16/$E$6)*(1-U17)</f>
        <v>1830.7692307692305</v>
      </c>
      <c r="V16" s="27">
        <f>(P16/$E$6)*(U17)</f>
        <v>784.61538461538453</v>
      </c>
      <c r="W16" s="27">
        <f>(Q16/$E$6)*(1-W17)</f>
        <v>366.15384615384613</v>
      </c>
      <c r="X16" s="27">
        <f>(Q16/$E$6)*(W17)</f>
        <v>156.92307692307693</v>
      </c>
      <c r="Y16" s="27">
        <f>(R16/$E$6)*(1-Y17)</f>
        <v>366.15384615384613</v>
      </c>
      <c r="Z16" s="27">
        <f>(R16/$E$6)*(Y17)</f>
        <v>156.92307692307693</v>
      </c>
    </row>
    <row r="17" spans="3:27" x14ac:dyDescent="0.3">
      <c r="C17" s="4"/>
      <c r="D17" s="3" t="s">
        <v>15</v>
      </c>
      <c r="E17" s="3" t="s">
        <v>16</v>
      </c>
      <c r="T17" s="28" t="s">
        <v>41</v>
      </c>
      <c r="U17" s="38">
        <v>0.3</v>
      </c>
      <c r="V17" s="38"/>
      <c r="W17" s="38">
        <v>0.3</v>
      </c>
      <c r="X17" s="38"/>
      <c r="Y17" s="37">
        <v>0.3</v>
      </c>
      <c r="Z17" s="37"/>
    </row>
    <row r="18" spans="3:27" x14ac:dyDescent="0.3">
      <c r="C18" s="3" t="s">
        <v>14</v>
      </c>
      <c r="D18" t="s">
        <v>17</v>
      </c>
      <c r="E18" t="s">
        <v>7</v>
      </c>
      <c r="O18" s="28" t="s">
        <v>33</v>
      </c>
      <c r="P18" s="29">
        <f>SUM(P14:P16)</f>
        <v>42499.999999999993</v>
      </c>
      <c r="Q18" s="29">
        <f t="shared" ref="Q18:R18" si="2">SUM(Q14:Q16)</f>
        <v>37129.059829059821</v>
      </c>
      <c r="R18" s="29">
        <f t="shared" si="2"/>
        <v>42500</v>
      </c>
    </row>
    <row r="19" spans="3:27" x14ac:dyDescent="0.3">
      <c r="D19" t="s">
        <v>7</v>
      </c>
      <c r="E19" t="s">
        <v>0</v>
      </c>
      <c r="T19" s="28" t="s">
        <v>33</v>
      </c>
      <c r="U19" s="36">
        <f>SUM(U14:V16)</f>
        <v>154670.9401709401</v>
      </c>
      <c r="V19" s="36"/>
      <c r="W19" s="36">
        <f>SUM(W14:X16)</f>
        <v>133172.6495726495</v>
      </c>
      <c r="X19" s="36"/>
      <c r="Y19" s="36">
        <f>SUM(Y14:Z16)</f>
        <v>112156.41025641025</v>
      </c>
      <c r="Z19" s="36"/>
      <c r="AA19" s="29">
        <f>SUM(U19:Z19)</f>
        <v>399999.99999999988</v>
      </c>
    </row>
    <row r="20" spans="3:27" x14ac:dyDescent="0.3">
      <c r="D20" t="s">
        <v>18</v>
      </c>
      <c r="E20" t="s">
        <v>18</v>
      </c>
      <c r="J20" t="s">
        <v>49</v>
      </c>
    </row>
    <row r="21" spans="3:27" x14ac:dyDescent="0.3">
      <c r="J21" t="s">
        <v>48</v>
      </c>
      <c r="K21" s="1">
        <v>400000</v>
      </c>
      <c r="L21" t="s">
        <v>50</v>
      </c>
      <c r="N21" t="s">
        <v>47</v>
      </c>
      <c r="O21" t="s">
        <v>45</v>
      </c>
    </row>
    <row r="22" spans="3:27" x14ac:dyDescent="0.3">
      <c r="C22" s="3" t="s">
        <v>19</v>
      </c>
      <c r="D22" t="s">
        <v>20</v>
      </c>
      <c r="E22" t="s">
        <v>7</v>
      </c>
      <c r="O22" s="32" t="s">
        <v>7</v>
      </c>
      <c r="P22" s="32"/>
      <c r="Q22" s="33" t="s">
        <v>0</v>
      </c>
      <c r="R22" s="33"/>
      <c r="S22" s="35" t="s">
        <v>18</v>
      </c>
      <c r="T22" s="35"/>
    </row>
    <row r="23" spans="3:27" x14ac:dyDescent="0.3">
      <c r="D23" t="s">
        <v>21</v>
      </c>
      <c r="E23" t="s">
        <v>0</v>
      </c>
      <c r="O23" s="34" t="s">
        <v>14</v>
      </c>
      <c r="P23" s="34" t="s">
        <v>19</v>
      </c>
      <c r="Q23" s="34" t="s">
        <v>14</v>
      </c>
      <c r="R23" s="34" t="s">
        <v>19</v>
      </c>
      <c r="S23" s="34" t="s">
        <v>14</v>
      </c>
      <c r="T23" s="34" t="s">
        <v>19</v>
      </c>
    </row>
    <row r="24" spans="3:27" x14ac:dyDescent="0.3">
      <c r="D24" t="s">
        <v>21</v>
      </c>
      <c r="E24" t="s">
        <v>18</v>
      </c>
      <c r="N24" s="5" t="s">
        <v>2</v>
      </c>
      <c r="O24" s="26">
        <f>U14*K4</f>
        <v>1057.9694999999997</v>
      </c>
      <c r="P24" s="26">
        <f>V14*L4</f>
        <v>1590.2437499999996</v>
      </c>
      <c r="Q24" s="26">
        <f>W14*M4</f>
        <v>4091.0968710909992</v>
      </c>
      <c r="R24" s="26">
        <f t="shared" ref="P24:T26" si="3">X14*N4</f>
        <v>1222.0134832579181</v>
      </c>
      <c r="S24" s="26">
        <f t="shared" si="3"/>
        <v>735.87150000000008</v>
      </c>
      <c r="T24" s="26">
        <f t="shared" si="3"/>
        <v>1494.7931699999999</v>
      </c>
    </row>
    <row r="25" spans="3:27" x14ac:dyDescent="0.3">
      <c r="N25" s="5" t="s">
        <v>3</v>
      </c>
      <c r="O25" s="26">
        <f>U15*K5</f>
        <v>124.46699999999997</v>
      </c>
      <c r="P25" s="26">
        <f t="shared" ref="P25:P26" si="4">V15*L5</f>
        <v>187.08749999999995</v>
      </c>
      <c r="Q25" s="26">
        <f t="shared" si="3"/>
        <v>859.92584999999997</v>
      </c>
      <c r="R25" s="26">
        <f t="shared" si="3"/>
        <v>256.86045000000001</v>
      </c>
      <c r="S25" s="26">
        <f t="shared" si="3"/>
        <v>1132.1099999999999</v>
      </c>
      <c r="T25" s="26">
        <f t="shared" si="3"/>
        <v>2299.6817999999998</v>
      </c>
    </row>
    <row r="26" spans="3:27" x14ac:dyDescent="0.3">
      <c r="N26" s="5" t="s">
        <v>4</v>
      </c>
      <c r="O26" s="26">
        <f t="shared" ref="O25:O26" si="5">U16*K6</f>
        <v>62.233499999999985</v>
      </c>
      <c r="P26" s="26">
        <f t="shared" si="4"/>
        <v>93.543749999999989</v>
      </c>
      <c r="Q26" s="26">
        <f t="shared" si="3"/>
        <v>57.328390000000006</v>
      </c>
      <c r="R26" s="26">
        <f t="shared" si="3"/>
        <v>17.124030000000001</v>
      </c>
      <c r="S26" s="26">
        <f t="shared" si="3"/>
        <v>18.868500000000001</v>
      </c>
      <c r="T26" s="26">
        <f t="shared" si="3"/>
        <v>38.328030000000005</v>
      </c>
    </row>
    <row r="28" spans="3:27" x14ac:dyDescent="0.3">
      <c r="N28" s="28" t="s">
        <v>33</v>
      </c>
      <c r="O28" s="40">
        <f>SUM(O24:P26)</f>
        <v>3115.5449999999992</v>
      </c>
      <c r="P28" s="40"/>
      <c r="Q28" s="40">
        <f>SUM(Q24:R26)</f>
        <v>6504.3490743489165</v>
      </c>
      <c r="R28" s="40"/>
      <c r="S28" s="40">
        <f>SUM(S24:T26)</f>
        <v>5719.6529999999984</v>
      </c>
      <c r="T28" s="40"/>
    </row>
    <row r="30" spans="3:27" x14ac:dyDescent="0.3">
      <c r="R30" t="s">
        <v>42</v>
      </c>
      <c r="S30" t="s">
        <v>46</v>
      </c>
      <c r="T30" s="41">
        <f>SUM(O24:T26)</f>
        <v>15339.547074348922</v>
      </c>
    </row>
  </sheetData>
  <mergeCells count="18">
    <mergeCell ref="O22:P22"/>
    <mergeCell ref="Q22:R22"/>
    <mergeCell ref="S22:T22"/>
    <mergeCell ref="O28:P28"/>
    <mergeCell ref="Q28:R28"/>
    <mergeCell ref="S28:T28"/>
    <mergeCell ref="U12:V12"/>
    <mergeCell ref="W12:X12"/>
    <mergeCell ref="Y12:Z12"/>
    <mergeCell ref="U19:V19"/>
    <mergeCell ref="W19:X19"/>
    <mergeCell ref="Y19:Z19"/>
    <mergeCell ref="U17:V17"/>
    <mergeCell ref="W17:X17"/>
    <mergeCell ref="Y17:Z17"/>
    <mergeCell ref="K2:L2"/>
    <mergeCell ref="M2:N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39CE-55D8-4335-96D0-A7DAABD03484}">
  <dimension ref="C4:C8"/>
  <sheetViews>
    <sheetView workbookViewId="0">
      <selection activeCell="C11" sqref="C11"/>
    </sheetView>
  </sheetViews>
  <sheetFormatPr defaultRowHeight="14.4" x14ac:dyDescent="0.3"/>
  <cols>
    <col min="3" max="4" width="40.5546875" customWidth="1"/>
  </cols>
  <sheetData>
    <row r="4" spans="3:3" x14ac:dyDescent="0.3">
      <c r="C4" t="s">
        <v>36</v>
      </c>
    </row>
    <row r="6" spans="3:3" x14ac:dyDescent="0.3">
      <c r="C6" t="s">
        <v>37</v>
      </c>
    </row>
    <row r="7" spans="3:3" x14ac:dyDescent="0.3">
      <c r="C7" t="s">
        <v>31</v>
      </c>
    </row>
    <row r="8" spans="3:3" x14ac:dyDescent="0.3">
      <c r="C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B</dc:creator>
  <cp:lastModifiedBy>Mitch B</cp:lastModifiedBy>
  <dcterms:created xsi:type="dcterms:W3CDTF">2025-12-04T02:25:10Z</dcterms:created>
  <dcterms:modified xsi:type="dcterms:W3CDTF">2025-12-04T19:14:28Z</dcterms:modified>
</cp:coreProperties>
</file>